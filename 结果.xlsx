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stuff\CS\py_file\SAC_test\SAC\"/>
    </mc:Choice>
  </mc:AlternateContent>
  <xr:revisionPtr revIDLastSave="0" documentId="13_ncr:1_{A3E8FB67-167F-45F8-B47C-901314718B25}" xr6:coauthVersionLast="47" xr6:coauthVersionMax="47" xr10:uidLastSave="{00000000-0000-0000-0000-000000000000}"/>
  <bookViews>
    <workbookView xWindow="-1550" yWindow="10980" windowWidth="14760" windowHeight="9860" xr2:uid="{00000000-000D-0000-FFFF-FFFF00000000}"/>
  </bookViews>
  <sheets>
    <sheet name="SA1.0版本" sheetId="1" r:id="rId1"/>
    <sheet name="老版本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1" l="1"/>
  <c r="G24" i="1"/>
  <c r="H23" i="1"/>
  <c r="G23" i="1"/>
  <c r="H20" i="1"/>
  <c r="G20" i="1"/>
  <c r="H19" i="1"/>
  <c r="G19" i="1"/>
  <c r="G7" i="1"/>
  <c r="H16" i="1"/>
  <c r="G16" i="1"/>
  <c r="G3" i="2"/>
  <c r="H3" i="2"/>
  <c r="G4" i="2"/>
  <c r="H4" i="2"/>
  <c r="G8" i="2"/>
  <c r="H8" i="2"/>
  <c r="G9" i="2"/>
  <c r="H9" i="2"/>
  <c r="G13" i="2"/>
  <c r="H13" i="2"/>
  <c r="G14" i="2"/>
  <c r="H14" i="2"/>
  <c r="G18" i="2"/>
  <c r="H18" i="2"/>
  <c r="G19" i="2"/>
  <c r="H19" i="2"/>
  <c r="H15" i="1"/>
  <c r="G15" i="1"/>
  <c r="H12" i="1"/>
  <c r="G12" i="1"/>
  <c r="H11" i="1"/>
  <c r="G11" i="1"/>
  <c r="H4" i="1"/>
  <c r="G4" i="1"/>
  <c r="H8" i="1"/>
  <c r="G8" i="1"/>
  <c r="H7" i="1"/>
  <c r="H3" i="1"/>
  <c r="G3" i="1"/>
</calcChain>
</file>

<file path=xl/sharedStrings.xml><?xml version="1.0" encoding="utf-8"?>
<sst xmlns="http://schemas.openxmlformats.org/spreadsheetml/2006/main" count="43" uniqueCount="17">
  <si>
    <t>随机种子/熵可靠性权重</t>
    <phoneticPr fontId="1" type="noConversion"/>
  </si>
  <si>
    <t>均值</t>
    <phoneticPr fontId="1" type="noConversion"/>
  </si>
  <si>
    <t>样本标准差</t>
    <phoneticPr fontId="1" type="noConversion"/>
  </si>
  <si>
    <t>CIFAR20准确率(熵可靠性温度=1.0,跨模态*0.2)</t>
    <phoneticPr fontId="1" type="noConversion"/>
  </si>
  <si>
    <t>CIFAR20准确率(熵可靠性温度=0,跨模态*0.2)</t>
    <phoneticPr fontId="1" type="noConversion"/>
  </si>
  <si>
    <t>CIFAR20准确率(熵可靠性温度=1.0,跨模态*1)</t>
    <phoneticPr fontId="1" type="noConversion"/>
  </si>
  <si>
    <t>CIFAR20准确率(熵可靠性温度=0.5,跨模态系数=0.2)</t>
    <phoneticPr fontId="1" type="noConversion"/>
  </si>
  <si>
    <t>CIFAR20准确率(熵可靠性温度=0.5,跨模态系数=0.2，相似度温度0.5，dc=1)</t>
    <phoneticPr fontId="1" type="noConversion"/>
  </si>
  <si>
    <t>CIFAR20准确率(熵可靠性温度=0,跨模态系数=0.2，相似度温度0.5，dc=1)</t>
    <phoneticPr fontId="1" type="noConversion"/>
  </si>
  <si>
    <t>CIFAR20准确率(熵可靠性温度=0,跨模态系数=0.2，相似度温度0.5，sa=1)</t>
    <phoneticPr fontId="1" type="noConversion"/>
  </si>
  <si>
    <t>种子/dc系数</t>
    <phoneticPr fontId="1" type="noConversion"/>
  </si>
  <si>
    <t>种子/sa系数</t>
    <phoneticPr fontId="1" type="noConversion"/>
  </si>
  <si>
    <t>双0</t>
    <phoneticPr fontId="1" type="noConversion"/>
  </si>
  <si>
    <t>双1</t>
    <phoneticPr fontId="1" type="noConversion"/>
  </si>
  <si>
    <t>CIFAR20准确率(熵可靠性温度=0,跨模态系数=0.2，相似度温度0.5,SA=DC)</t>
    <phoneticPr fontId="1" type="noConversion"/>
  </si>
  <si>
    <t>STL准确率(熵可靠性温度=0,跨模态系数=0.2，相似度温度0.5，SA=DC)</t>
    <phoneticPr fontId="1" type="noConversion"/>
  </si>
  <si>
    <t>CIFAR10准确率(熵可靠性温度=0,跨模态系数=0.2，相似度温度0.5，SA=DC)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</si>
</sst>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zoomScale="168" workbookViewId="0">
      <selection activeCell="B7" sqref="B7"/>
    </sheetView>
  </sheetViews>
  <sheetFormatPr defaultRowHeight="14" x14ac:dyDescent="0.3"/>
  <cols>
    <col min="1" max="1" width="20.08203125" customWidth="1"/>
    <col min="8" max="8" width="10.4140625" customWidth="1"/>
  </cols>
  <sheetData>
    <row r="1" spans="1:8" x14ac:dyDescent="0.3">
      <c r="A1" s="2" t="s">
        <v>7</v>
      </c>
      <c r="B1" s="2"/>
      <c r="C1" s="2"/>
      <c r="D1" s="2"/>
      <c r="E1" s="2"/>
      <c r="F1" s="2"/>
      <c r="G1" s="2"/>
      <c r="H1" s="2"/>
    </row>
    <row r="2" spans="1:8" x14ac:dyDescent="0.3">
      <c r="A2" t="s">
        <v>11</v>
      </c>
      <c r="B2">
        <v>0</v>
      </c>
      <c r="C2">
        <v>1</v>
      </c>
      <c r="D2">
        <v>2</v>
      </c>
      <c r="E2">
        <v>3</v>
      </c>
      <c r="F2">
        <v>4</v>
      </c>
      <c r="G2" s="1" t="s">
        <v>1</v>
      </c>
      <c r="H2" s="1" t="s">
        <v>2</v>
      </c>
    </row>
    <row r="3" spans="1:8" x14ac:dyDescent="0.3">
      <c r="A3">
        <v>0</v>
      </c>
      <c r="B3">
        <v>69.61</v>
      </c>
      <c r="C3">
        <v>66.45</v>
      </c>
      <c r="D3">
        <v>62.99</v>
      </c>
      <c r="E3">
        <v>64.69</v>
      </c>
      <c r="F3">
        <v>65.569999999999993</v>
      </c>
      <c r="G3">
        <f>AVERAGE(B3:F3)</f>
        <v>65.861999999999995</v>
      </c>
      <c r="H3">
        <f>_xlfn.STDEV.S(B3:F3)</f>
        <v>2.4546119856303155</v>
      </c>
    </row>
    <row r="4" spans="1:8" ht="14.5" customHeight="1" x14ac:dyDescent="0.3">
      <c r="A4">
        <v>1</v>
      </c>
      <c r="B4">
        <v>68.53</v>
      </c>
      <c r="C4">
        <v>69.650000000000006</v>
      </c>
      <c r="D4">
        <v>66.56</v>
      </c>
      <c r="E4">
        <v>67.55</v>
      </c>
      <c r="F4">
        <v>68.61</v>
      </c>
      <c r="G4">
        <f>AVERAGE(B4:F4)</f>
        <v>68.180000000000007</v>
      </c>
      <c r="H4">
        <f>_xlfn.STDEV.S(B4:F4)</f>
        <v>1.1714947716485991</v>
      </c>
    </row>
    <row r="5" spans="1:8" x14ac:dyDescent="0.3">
      <c r="A5" s="2" t="s">
        <v>8</v>
      </c>
      <c r="B5" s="2"/>
      <c r="C5" s="2"/>
      <c r="D5" s="2"/>
      <c r="E5" s="2"/>
      <c r="F5" s="2"/>
      <c r="G5" s="2"/>
      <c r="H5" s="2"/>
    </row>
    <row r="6" spans="1:8" x14ac:dyDescent="0.3">
      <c r="A6" t="s">
        <v>11</v>
      </c>
      <c r="B6">
        <v>0</v>
      </c>
      <c r="C6">
        <v>1</v>
      </c>
      <c r="D6">
        <v>2</v>
      </c>
      <c r="E6">
        <v>3</v>
      </c>
      <c r="F6">
        <v>4</v>
      </c>
      <c r="G6" s="1" t="s">
        <v>1</v>
      </c>
      <c r="H6" s="1" t="s">
        <v>2</v>
      </c>
    </row>
    <row r="7" spans="1:8" x14ac:dyDescent="0.3">
      <c r="A7">
        <v>0</v>
      </c>
      <c r="B7">
        <v>69.61</v>
      </c>
      <c r="C7">
        <v>66.47</v>
      </c>
      <c r="D7">
        <v>62.99</v>
      </c>
      <c r="E7">
        <v>64.69</v>
      </c>
      <c r="F7">
        <v>65.569999999999993</v>
      </c>
      <c r="G7">
        <f>AVERAGE(B7:F7)</f>
        <v>65.866</v>
      </c>
      <c r="H7">
        <f>_xlfn.STDEV.S(B7:F7)</f>
        <v>2.4558257267159651</v>
      </c>
    </row>
    <row r="8" spans="1:8" x14ac:dyDescent="0.3">
      <c r="A8">
        <v>1</v>
      </c>
      <c r="B8">
        <v>68.64</v>
      </c>
      <c r="C8">
        <v>70.39</v>
      </c>
      <c r="D8">
        <v>66.349999999999994</v>
      </c>
      <c r="E8">
        <v>65.72</v>
      </c>
      <c r="F8">
        <v>69.069999999999993</v>
      </c>
      <c r="G8">
        <f>AVERAGE(B8:F8)</f>
        <v>68.034000000000006</v>
      </c>
      <c r="H8">
        <f>_xlfn.STDEV.S(B8:F8)</f>
        <v>1.9481863360572067</v>
      </c>
    </row>
    <row r="9" spans="1:8" x14ac:dyDescent="0.3">
      <c r="A9" s="2" t="s">
        <v>9</v>
      </c>
      <c r="B9" s="2"/>
      <c r="C9" s="2"/>
      <c r="D9" s="2"/>
      <c r="E9" s="2"/>
      <c r="F9" s="2"/>
      <c r="G9" s="2"/>
      <c r="H9" s="2"/>
    </row>
    <row r="10" spans="1:8" x14ac:dyDescent="0.3">
      <c r="A10" t="s">
        <v>10</v>
      </c>
      <c r="B10">
        <v>0</v>
      </c>
      <c r="C10">
        <v>1</v>
      </c>
      <c r="D10">
        <v>2</v>
      </c>
      <c r="E10">
        <v>3</v>
      </c>
      <c r="F10">
        <v>4</v>
      </c>
      <c r="G10" s="1" t="s">
        <v>1</v>
      </c>
      <c r="H10" s="1" t="s">
        <v>2</v>
      </c>
    </row>
    <row r="11" spans="1:8" x14ac:dyDescent="0.3">
      <c r="A11">
        <v>0</v>
      </c>
      <c r="B11">
        <v>70.8</v>
      </c>
      <c r="C11">
        <v>59</v>
      </c>
      <c r="D11">
        <v>67.69</v>
      </c>
      <c r="E11">
        <v>63.64</v>
      </c>
      <c r="F11">
        <v>67.569999999999993</v>
      </c>
      <c r="G11">
        <f>AVERAGE(B11:F11)</f>
        <v>65.739999999999995</v>
      </c>
      <c r="H11">
        <f>_xlfn.STDEV.S(B11:F11)</f>
        <v>4.5440235474741968</v>
      </c>
    </row>
    <row r="12" spans="1:8" x14ac:dyDescent="0.3">
      <c r="A12">
        <v>1</v>
      </c>
      <c r="B12">
        <v>68.64</v>
      </c>
      <c r="C12">
        <v>70.39</v>
      </c>
      <c r="D12">
        <v>66.349999999999994</v>
      </c>
      <c r="E12">
        <v>65.72</v>
      </c>
      <c r="F12">
        <v>69.069999999999993</v>
      </c>
      <c r="G12">
        <f>AVERAGE(B12:F12)</f>
        <v>68.034000000000006</v>
      </c>
      <c r="H12">
        <f>_xlfn.STDEV.S(B12:F12)</f>
        <v>1.9481863360572067</v>
      </c>
    </row>
    <row r="13" spans="1:8" x14ac:dyDescent="0.3">
      <c r="A13" s="2" t="s">
        <v>14</v>
      </c>
      <c r="B13" s="2"/>
      <c r="C13" s="2"/>
      <c r="D13" s="2"/>
      <c r="E13" s="2"/>
      <c r="F13" s="2"/>
      <c r="G13" s="2"/>
      <c r="H13" s="2"/>
    </row>
    <row r="14" spans="1:8" x14ac:dyDescent="0.3">
      <c r="A14" t="s">
        <v>11</v>
      </c>
      <c r="B14">
        <v>0</v>
      </c>
      <c r="C14">
        <v>1</v>
      </c>
      <c r="D14">
        <v>2</v>
      </c>
      <c r="E14">
        <v>3</v>
      </c>
      <c r="F14">
        <v>4</v>
      </c>
      <c r="G14" s="1" t="s">
        <v>1</v>
      </c>
      <c r="H14" s="1" t="s">
        <v>2</v>
      </c>
    </row>
    <row r="15" spans="1:8" x14ac:dyDescent="0.3">
      <c r="A15" t="s">
        <v>12</v>
      </c>
      <c r="B15">
        <v>62.63</v>
      </c>
      <c r="C15">
        <v>70.489999999999995</v>
      </c>
      <c r="D15">
        <v>60.81</v>
      </c>
      <c r="E15">
        <v>58.51</v>
      </c>
      <c r="F15">
        <v>66.540000000000006</v>
      </c>
      <c r="G15">
        <f>AVERAGE(B15:F15)</f>
        <v>63.796000000000006</v>
      </c>
      <c r="H15">
        <f>_xlfn.STDEV.S(B15:F15)</f>
        <v>4.7580647326407819</v>
      </c>
    </row>
    <row r="16" spans="1:8" x14ac:dyDescent="0.3">
      <c r="A16" t="s">
        <v>13</v>
      </c>
      <c r="B16">
        <v>68.64</v>
      </c>
      <c r="C16">
        <v>70.41</v>
      </c>
      <c r="D16">
        <v>66.349999999999994</v>
      </c>
      <c r="E16">
        <v>65.72</v>
      </c>
      <c r="F16">
        <v>69.069999999999993</v>
      </c>
      <c r="G16">
        <f>AVERAGE(B16:F16)</f>
        <v>68.037999999999997</v>
      </c>
      <c r="H16">
        <f>_xlfn.STDEV.S(B16:F16)</f>
        <v>1.954244099389838</v>
      </c>
    </row>
    <row r="17" spans="1:8" x14ac:dyDescent="0.3">
      <c r="A17" s="2" t="s">
        <v>15</v>
      </c>
      <c r="B17" s="2"/>
      <c r="C17" s="2"/>
      <c r="D17" s="2"/>
      <c r="E17" s="2"/>
      <c r="F17" s="2"/>
      <c r="G17" s="2"/>
      <c r="H17" s="2"/>
    </row>
    <row r="18" spans="1:8" x14ac:dyDescent="0.3">
      <c r="A18" t="s">
        <v>11</v>
      </c>
      <c r="B18">
        <v>0</v>
      </c>
      <c r="C18">
        <v>1</v>
      </c>
      <c r="D18">
        <v>2</v>
      </c>
      <c r="E18">
        <v>3</v>
      </c>
      <c r="F18">
        <v>4</v>
      </c>
      <c r="G18" s="1" t="s">
        <v>1</v>
      </c>
      <c r="H18" s="1" t="s">
        <v>2</v>
      </c>
    </row>
    <row r="19" spans="1:8" x14ac:dyDescent="0.3">
      <c r="A19" t="s">
        <v>12</v>
      </c>
      <c r="B19">
        <v>99.62</v>
      </c>
      <c r="C19">
        <v>99.65</v>
      </c>
      <c r="D19">
        <v>99.64</v>
      </c>
      <c r="E19">
        <v>99.61</v>
      </c>
      <c r="F19">
        <v>99.64</v>
      </c>
      <c r="G19">
        <f>AVERAGE(B19:F19)</f>
        <v>99.632000000000005</v>
      </c>
      <c r="H19">
        <f>_xlfn.STDEV.S(B19:F19)</f>
        <v>1.6431676725156039E-2</v>
      </c>
    </row>
    <row r="20" spans="1:8" x14ac:dyDescent="0.3">
      <c r="A20" t="s">
        <v>13</v>
      </c>
      <c r="B20">
        <v>99.58</v>
      </c>
      <c r="C20">
        <v>99.6</v>
      </c>
      <c r="D20">
        <v>99.61</v>
      </c>
      <c r="E20">
        <v>99.56</v>
      </c>
      <c r="F20">
        <v>99.56</v>
      </c>
      <c r="G20">
        <f>AVERAGE(B20:F20)</f>
        <v>99.582000000000008</v>
      </c>
      <c r="H20">
        <f>_xlfn.STDEV.S(B20:F20)</f>
        <v>2.2803508501980402E-2</v>
      </c>
    </row>
    <row r="21" spans="1:8" x14ac:dyDescent="0.3">
      <c r="A21" s="2" t="s">
        <v>16</v>
      </c>
      <c r="B21" s="2"/>
      <c r="C21" s="2"/>
      <c r="D21" s="2"/>
      <c r="E21" s="2"/>
      <c r="F21" s="2"/>
      <c r="G21" s="2"/>
      <c r="H21" s="2"/>
    </row>
    <row r="22" spans="1:8" x14ac:dyDescent="0.3">
      <c r="A22" t="s">
        <v>11</v>
      </c>
      <c r="B22">
        <v>0</v>
      </c>
      <c r="C22">
        <v>1</v>
      </c>
      <c r="D22">
        <v>2</v>
      </c>
      <c r="E22">
        <v>3</v>
      </c>
      <c r="F22">
        <v>4</v>
      </c>
      <c r="G22" s="1" t="s">
        <v>1</v>
      </c>
      <c r="H22" s="1" t="s">
        <v>2</v>
      </c>
    </row>
    <row r="23" spans="1:8" x14ac:dyDescent="0.3">
      <c r="A23" t="s">
        <v>12</v>
      </c>
      <c r="B23">
        <v>98.47</v>
      </c>
      <c r="C23">
        <v>98.52</v>
      </c>
      <c r="G23">
        <f>AVERAGE(B23:F23)</f>
        <v>98.495000000000005</v>
      </c>
      <c r="H23">
        <f>_xlfn.STDEV.S(B23:F23)</f>
        <v>3.5355339059325371E-2</v>
      </c>
    </row>
    <row r="24" spans="1:8" x14ac:dyDescent="0.3">
      <c r="A24" t="s">
        <v>13</v>
      </c>
      <c r="B24">
        <v>98.57</v>
      </c>
      <c r="C24">
        <v>98.66</v>
      </c>
      <c r="G24">
        <f>AVERAGE(B24:F24)</f>
        <v>98.614999999999995</v>
      </c>
      <c r="H24">
        <f>_xlfn.STDEV.S(B24:F24)</f>
        <v>6.3639610306791689E-2</v>
      </c>
    </row>
  </sheetData>
  <mergeCells count="6">
    <mergeCell ref="A21:H21"/>
    <mergeCell ref="A5:H5"/>
    <mergeCell ref="A9:H9"/>
    <mergeCell ref="A13:H13"/>
    <mergeCell ref="A1:H1"/>
    <mergeCell ref="A17:H17"/>
  </mergeCells>
  <phoneticPr fontId="1" type="noConversion"/>
  <pageMargins left="0.7" right="0.7" top="0.75" bottom="0.75" header="0.3" footer="0.3"/>
  <pageSetup paperSize="9" orientation="portrait" horizontalDpi="1200" verticalDpi="1200" r:id="rId1"/>
  <ignoredErrors>
    <ignoredError sqref="G11:H12 G7:G8 H7:H8 G3:G4 H3:H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2F1A-F73C-444C-B94C-BB77C68A0460}">
  <dimension ref="A1:H19"/>
  <sheetViews>
    <sheetView workbookViewId="0">
      <selection activeCell="L26" sqref="L26"/>
    </sheetView>
  </sheetViews>
  <sheetFormatPr defaultRowHeight="14" x14ac:dyDescent="0.3"/>
  <sheetData>
    <row r="1" spans="1:8" x14ac:dyDescent="0.3">
      <c r="A1" s="2" t="s">
        <v>5</v>
      </c>
      <c r="B1" s="2"/>
      <c r="C1" s="2"/>
      <c r="D1" s="2"/>
      <c r="E1" s="2"/>
      <c r="F1" s="2"/>
      <c r="G1" s="2"/>
      <c r="H1" s="2"/>
    </row>
    <row r="2" spans="1:8" x14ac:dyDescent="0.3">
      <c r="A2" t="s">
        <v>0</v>
      </c>
      <c r="B2">
        <v>0</v>
      </c>
      <c r="C2">
        <v>1</v>
      </c>
      <c r="D2">
        <v>2</v>
      </c>
      <c r="E2">
        <v>3</v>
      </c>
      <c r="F2">
        <v>4</v>
      </c>
      <c r="G2" s="1" t="s">
        <v>1</v>
      </c>
      <c r="H2" s="1" t="s">
        <v>2</v>
      </c>
    </row>
    <row r="3" spans="1:8" x14ac:dyDescent="0.3">
      <c r="A3">
        <v>0</v>
      </c>
      <c r="B3">
        <v>69.63</v>
      </c>
      <c r="C3">
        <v>66.41</v>
      </c>
      <c r="D3">
        <v>63.69</v>
      </c>
      <c r="E3">
        <v>64.58</v>
      </c>
      <c r="F3">
        <v>65.569999999999993</v>
      </c>
      <c r="G3">
        <f>AVERAGE(B3:F3)</f>
        <v>65.975999999999999</v>
      </c>
      <c r="H3">
        <f>_xlfn.STDEV.S(B3:F3)</f>
        <v>2.2847056703216708</v>
      </c>
    </row>
    <row r="4" spans="1:8" x14ac:dyDescent="0.3">
      <c r="A4">
        <v>0.25</v>
      </c>
      <c r="B4">
        <v>71.8</v>
      </c>
      <c r="C4">
        <v>65.569999999999993</v>
      </c>
      <c r="D4">
        <v>66.739999999999995</v>
      </c>
      <c r="E4">
        <v>64.58</v>
      </c>
      <c r="F4">
        <v>67.739999999999995</v>
      </c>
      <c r="G4">
        <f>AVERAGE(B4:F4)</f>
        <v>67.286000000000001</v>
      </c>
      <c r="H4">
        <f>_xlfn.STDEV.S(B4:F4)</f>
        <v>2.7904981634109709</v>
      </c>
    </row>
    <row r="6" spans="1:8" x14ac:dyDescent="0.3">
      <c r="A6" s="2" t="s">
        <v>3</v>
      </c>
      <c r="B6" s="2"/>
      <c r="C6" s="2"/>
      <c r="D6" s="2"/>
      <c r="E6" s="2"/>
      <c r="F6" s="2"/>
      <c r="G6" s="2"/>
      <c r="H6" s="2"/>
    </row>
    <row r="7" spans="1:8" x14ac:dyDescent="0.3">
      <c r="B7">
        <v>0</v>
      </c>
      <c r="C7">
        <v>1</v>
      </c>
      <c r="D7">
        <v>2</v>
      </c>
      <c r="E7">
        <v>3</v>
      </c>
      <c r="F7">
        <v>4</v>
      </c>
      <c r="G7" s="1" t="s">
        <v>1</v>
      </c>
      <c r="H7" s="1" t="s">
        <v>2</v>
      </c>
    </row>
    <row r="8" spans="1:8" x14ac:dyDescent="0.3">
      <c r="A8">
        <v>0</v>
      </c>
      <c r="B8">
        <v>69.63</v>
      </c>
      <c r="C8">
        <v>66.41</v>
      </c>
      <c r="D8">
        <v>63.69</v>
      </c>
      <c r="E8">
        <v>64.58</v>
      </c>
      <c r="F8">
        <v>65.569999999999993</v>
      </c>
      <c r="G8">
        <f>AVERAGE(B8:F8)</f>
        <v>65.975999999999999</v>
      </c>
      <c r="H8">
        <f>_xlfn.STDEV.S(B8:F8)</f>
        <v>2.2847056703216708</v>
      </c>
    </row>
    <row r="9" spans="1:8" x14ac:dyDescent="0.3">
      <c r="A9">
        <v>0.25</v>
      </c>
      <c r="B9">
        <v>71.92</v>
      </c>
      <c r="C9">
        <v>66.42</v>
      </c>
      <c r="D9">
        <v>67.510000000000005</v>
      </c>
      <c r="E9">
        <v>64.680000000000007</v>
      </c>
      <c r="F9">
        <v>67.11</v>
      </c>
      <c r="G9">
        <f>AVERAGE(B9:F9)</f>
        <v>67.528000000000006</v>
      </c>
      <c r="H9">
        <f>_xlfn.STDEV.S(B9:F9)</f>
        <v>2.683443683031189</v>
      </c>
    </row>
    <row r="11" spans="1:8" x14ac:dyDescent="0.3">
      <c r="A11" s="2" t="s">
        <v>4</v>
      </c>
      <c r="B11" s="2"/>
      <c r="C11" s="2"/>
      <c r="D11" s="2"/>
      <c r="E11" s="2"/>
      <c r="F11" s="2"/>
      <c r="G11" s="2"/>
      <c r="H11" s="2"/>
    </row>
    <row r="12" spans="1:8" x14ac:dyDescent="0.3">
      <c r="B12">
        <v>0</v>
      </c>
      <c r="C12">
        <v>1</v>
      </c>
      <c r="D12">
        <v>2</v>
      </c>
      <c r="E12">
        <v>3</v>
      </c>
      <c r="F12">
        <v>4</v>
      </c>
      <c r="G12" s="1" t="s">
        <v>1</v>
      </c>
      <c r="H12" s="1" t="s">
        <v>2</v>
      </c>
    </row>
    <row r="13" spans="1:8" x14ac:dyDescent="0.3">
      <c r="A13">
        <v>0</v>
      </c>
      <c r="B13">
        <v>69.63</v>
      </c>
      <c r="C13">
        <v>66.41</v>
      </c>
      <c r="D13">
        <v>63.69</v>
      </c>
      <c r="E13">
        <v>64.58</v>
      </c>
      <c r="F13">
        <v>65.569999999999993</v>
      </c>
      <c r="G13">
        <f>AVERAGE(B13:F13)</f>
        <v>65.975999999999999</v>
      </c>
      <c r="H13">
        <f>_xlfn.STDEV.S(B13:F13)</f>
        <v>2.2847056703216708</v>
      </c>
    </row>
    <row r="14" spans="1:8" x14ac:dyDescent="0.3">
      <c r="A14">
        <v>0.25</v>
      </c>
      <c r="B14">
        <v>71.819999999999993</v>
      </c>
      <c r="C14">
        <v>63.85</v>
      </c>
      <c r="D14">
        <v>66.53</v>
      </c>
      <c r="E14">
        <v>64.78</v>
      </c>
      <c r="F14">
        <v>0</v>
      </c>
      <c r="G14">
        <f>AVERAGE(B14:F14)</f>
        <v>53.396000000000001</v>
      </c>
      <c r="H14">
        <f>_xlfn.STDEV.S(B14:F14)</f>
        <v>30.008166055259025</v>
      </c>
    </row>
    <row r="16" spans="1:8" x14ac:dyDescent="0.3">
      <c r="A16" s="2" t="s">
        <v>6</v>
      </c>
      <c r="B16" s="2"/>
      <c r="C16" s="2"/>
      <c r="D16" s="2"/>
      <c r="E16" s="2"/>
      <c r="F16" s="2"/>
      <c r="G16" s="2"/>
      <c r="H16" s="2"/>
    </row>
    <row r="17" spans="1:8" x14ac:dyDescent="0.3">
      <c r="B17">
        <v>0</v>
      </c>
      <c r="C17">
        <v>1</v>
      </c>
      <c r="D17">
        <v>2</v>
      </c>
      <c r="E17">
        <v>3</v>
      </c>
      <c r="F17">
        <v>4</v>
      </c>
      <c r="G17" s="1" t="s">
        <v>1</v>
      </c>
      <c r="H17" s="1" t="s">
        <v>2</v>
      </c>
    </row>
    <row r="18" spans="1:8" x14ac:dyDescent="0.3">
      <c r="A18">
        <v>0</v>
      </c>
      <c r="B18">
        <v>69.63</v>
      </c>
      <c r="C18">
        <v>66.41</v>
      </c>
      <c r="D18">
        <v>63.69</v>
      </c>
      <c r="E18">
        <v>64.58</v>
      </c>
      <c r="F18">
        <v>65.569999999999993</v>
      </c>
      <c r="G18">
        <f>AVERAGE(B18:F18)</f>
        <v>65.975999999999999</v>
      </c>
      <c r="H18">
        <f>_xlfn.STDEV.S(B18:F18)</f>
        <v>2.2847056703216708</v>
      </c>
    </row>
    <row r="19" spans="1:8" x14ac:dyDescent="0.3">
      <c r="A19">
        <v>0.25</v>
      </c>
      <c r="B19">
        <v>71.88</v>
      </c>
      <c r="C19">
        <v>66.31</v>
      </c>
      <c r="D19">
        <v>67.040000000000006</v>
      </c>
      <c r="E19">
        <v>65.56</v>
      </c>
      <c r="F19">
        <v>67.150000000000006</v>
      </c>
      <c r="G19">
        <f>AVERAGE(B19:F19)</f>
        <v>67.588000000000008</v>
      </c>
      <c r="H19">
        <f>_xlfn.STDEV.S(B19:F19)</f>
        <v>2.4829156248249724</v>
      </c>
    </row>
  </sheetData>
  <mergeCells count="4">
    <mergeCell ref="A6:H6"/>
    <mergeCell ref="A1:H1"/>
    <mergeCell ref="A11:H11"/>
    <mergeCell ref="A16:H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SA1.0版本</vt:lpstr>
      <vt:lpstr>老版本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txc18</dc:creator>
  <cp:lastModifiedBy>txc18151124842@163.com</cp:lastModifiedBy>
  <dcterms:created xsi:type="dcterms:W3CDTF">2015-06-05T18:19:34Z</dcterms:created>
  <dcterms:modified xsi:type="dcterms:W3CDTF">2026-03-11T13:36:06Z</dcterms:modified>
</cp:coreProperties>
</file>